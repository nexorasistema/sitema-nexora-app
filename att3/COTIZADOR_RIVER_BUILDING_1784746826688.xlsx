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 MESES" sheetId="1" r:id="rId5"/>
    <sheet state="visible" name="24 MESES" sheetId="2" r:id="rId6"/>
  </sheets>
  <definedNames/>
  <calcPr/>
</workbook>
</file>

<file path=xl/sharedStrings.xml><?xml version="1.0" encoding="utf-8"?>
<sst xmlns="http://schemas.openxmlformats.org/spreadsheetml/2006/main" count="64" uniqueCount="26">
  <si>
    <t>DEPARTAMNETO</t>
  </si>
  <si>
    <t>m2</t>
  </si>
  <si>
    <t>M2</t>
  </si>
  <si>
    <t>DORMITORIOS</t>
  </si>
  <si>
    <t>CONDICIONES DE VENTA</t>
  </si>
  <si>
    <t>DOLARES</t>
  </si>
  <si>
    <t>PRECIO DE LISTA</t>
  </si>
  <si>
    <t>ENTRADA</t>
  </si>
  <si>
    <t xml:space="preserve">RESERVA </t>
  </si>
  <si>
    <t xml:space="preserve">Finaciamineto de la entrada </t>
  </si>
  <si>
    <t xml:space="preserve">Cuota No, </t>
  </si>
  <si>
    <t>Tipo</t>
  </si>
  <si>
    <t>Vencimieto</t>
  </si>
  <si>
    <t>Valor en dolares</t>
  </si>
  <si>
    <t>CI</t>
  </si>
  <si>
    <t>RESERVA</t>
  </si>
  <si>
    <t>Finaciamineto de l Hipoteca</t>
  </si>
  <si>
    <t>NC</t>
  </si>
  <si>
    <t>INSTITUCION</t>
  </si>
  <si>
    <t>TASA</t>
  </si>
  <si>
    <t xml:space="preserve">PLAZO </t>
  </si>
  <si>
    <t>CUOTA MESUAL</t>
  </si>
  <si>
    <t>PICHINCHA</t>
  </si>
  <si>
    <t>AÑOS</t>
  </si>
  <si>
    <t xml:space="preserve">GUAYAQUIL </t>
  </si>
  <si>
    <t>BIESS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</si>
</sst>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dd/mm/yyyy"/>
  </numFmts>
  <fonts count="4">
    <font>
      <sz val="10.0"/>
      <color rgb="FF000000"/>
      <name val="Arial"/>
      <scheme val="minor"/>
    </font>
    <font>
      <b/>
      <color rgb="FFF3F3F3"/>
      <name val="EB Garamond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right" readingOrder="0"/>
    </xf>
    <xf borderId="0" fillId="3" fontId="2" numFmtId="0" xfId="0" applyFont="1"/>
    <xf borderId="0" fillId="3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0" fontId="3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1" fillId="0" fontId="2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142875</xdr:rowOff>
    </xdr:from>
    <xdr:ext cx="7391400" cy="462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7391400" cy="462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8" max="8" width="25.5"/>
  </cols>
  <sheetData>
    <row r="26">
      <c r="A26" s="1" t="s">
        <v>0</v>
      </c>
      <c r="B26" s="2">
        <v>103.0</v>
      </c>
      <c r="C26" s="3" t="s">
        <v>1</v>
      </c>
      <c r="D26" s="2">
        <v>76.91</v>
      </c>
      <c r="E26" s="3" t="s">
        <v>2</v>
      </c>
    </row>
    <row r="27">
      <c r="A27" s="1" t="s">
        <v>3</v>
      </c>
      <c r="B27" s="2">
        <v>2.0</v>
      </c>
      <c r="C27" s="4"/>
      <c r="D27" s="4"/>
      <c r="E27" s="4"/>
    </row>
    <row r="28">
      <c r="A28" s="1" t="s">
        <v>4</v>
      </c>
      <c r="E28" s="5" t="s">
        <v>5</v>
      </c>
    </row>
    <row r="29">
      <c r="A29" s="1" t="s">
        <v>6</v>
      </c>
      <c r="E29" s="6">
        <v>157860.0</v>
      </c>
    </row>
    <row r="30">
      <c r="A30" s="7">
        <v>0.2</v>
      </c>
      <c r="B30" s="3" t="s">
        <v>7</v>
      </c>
      <c r="C30" s="4"/>
      <c r="D30" s="4"/>
      <c r="E30" s="8">
        <f>E29*A30</f>
        <v>31572</v>
      </c>
    </row>
    <row r="31">
      <c r="A31" s="7">
        <v>0.06</v>
      </c>
      <c r="B31" s="3" t="s">
        <v>8</v>
      </c>
      <c r="C31" s="4"/>
      <c r="D31" s="4"/>
      <c r="E31" s="8">
        <f>A31*E29</f>
        <v>9471.6</v>
      </c>
    </row>
    <row r="32">
      <c r="A32" s="9" t="s">
        <v>9</v>
      </c>
    </row>
    <row r="33">
      <c r="A33" s="10" t="s">
        <v>10</v>
      </c>
      <c r="B33" s="11"/>
      <c r="C33" s="12" t="s">
        <v>11</v>
      </c>
      <c r="D33" s="11"/>
      <c r="E33" s="12" t="s">
        <v>12</v>
      </c>
      <c r="F33" s="11"/>
      <c r="G33" s="12" t="s">
        <v>13</v>
      </c>
    </row>
    <row r="34">
      <c r="A34" s="13"/>
      <c r="C34" s="9" t="s">
        <v>14</v>
      </c>
      <c r="E34" s="14">
        <v>46224.0</v>
      </c>
      <c r="F34" s="15" t="s">
        <v>15</v>
      </c>
      <c r="G34" s="16">
        <f>E31</f>
        <v>9471.6</v>
      </c>
    </row>
    <row r="35">
      <c r="A35" s="17">
        <v>1.0</v>
      </c>
      <c r="E35" s="14">
        <f t="shared" ref="E35:E42" si="1">EDATE(E34,1)</f>
        <v>46255</v>
      </c>
      <c r="G35" s="16">
        <f>(E30-E31)/8</f>
        <v>2762.55</v>
      </c>
    </row>
    <row r="36">
      <c r="A36" s="17">
        <f t="shared" ref="A36:A42" si="2">A35+1</f>
        <v>2</v>
      </c>
      <c r="E36" s="14">
        <f t="shared" si="1"/>
        <v>46286</v>
      </c>
      <c r="G36" s="18">
        <f t="shared" ref="G36:G42" si="3">G35</f>
        <v>2762.55</v>
      </c>
    </row>
    <row r="37">
      <c r="A37" s="17">
        <f t="shared" si="2"/>
        <v>3</v>
      </c>
      <c r="E37" s="14">
        <f t="shared" si="1"/>
        <v>46316</v>
      </c>
      <c r="G37" s="18">
        <f t="shared" si="3"/>
        <v>2762.55</v>
      </c>
    </row>
    <row r="38">
      <c r="A38" s="17">
        <f t="shared" si="2"/>
        <v>4</v>
      </c>
      <c r="E38" s="14">
        <f t="shared" si="1"/>
        <v>46347</v>
      </c>
      <c r="G38" s="18">
        <f t="shared" si="3"/>
        <v>2762.55</v>
      </c>
    </row>
    <row r="39">
      <c r="A39" s="17">
        <f t="shared" si="2"/>
        <v>5</v>
      </c>
      <c r="E39" s="14">
        <f t="shared" si="1"/>
        <v>46377</v>
      </c>
      <c r="G39" s="18">
        <f t="shared" si="3"/>
        <v>2762.55</v>
      </c>
    </row>
    <row r="40">
      <c r="A40" s="17">
        <f t="shared" si="2"/>
        <v>6</v>
      </c>
      <c r="E40" s="14">
        <f t="shared" si="1"/>
        <v>46408</v>
      </c>
      <c r="G40" s="18">
        <f t="shared" si="3"/>
        <v>2762.55</v>
      </c>
    </row>
    <row r="41">
      <c r="A41" s="17">
        <f t="shared" si="2"/>
        <v>7</v>
      </c>
      <c r="E41" s="14">
        <f t="shared" si="1"/>
        <v>46439</v>
      </c>
      <c r="G41" s="18">
        <f t="shared" si="3"/>
        <v>2762.55</v>
      </c>
    </row>
    <row r="42">
      <c r="A42" s="17">
        <f t="shared" si="2"/>
        <v>8</v>
      </c>
      <c r="E42" s="14">
        <f t="shared" si="1"/>
        <v>46467</v>
      </c>
      <c r="G42" s="18">
        <f t="shared" si="3"/>
        <v>2762.55</v>
      </c>
    </row>
    <row r="43">
      <c r="A43" s="9" t="s">
        <v>16</v>
      </c>
    </row>
    <row r="44">
      <c r="A44" s="12" t="s">
        <v>10</v>
      </c>
      <c r="B44" s="11"/>
      <c r="C44" s="12" t="s">
        <v>11</v>
      </c>
      <c r="D44" s="11"/>
      <c r="E44" s="12" t="s">
        <v>12</v>
      </c>
      <c r="F44" s="11"/>
      <c r="G44" s="12" t="s">
        <v>13</v>
      </c>
    </row>
    <row r="45">
      <c r="A45" s="9">
        <v>2.0</v>
      </c>
      <c r="C45" s="9" t="s">
        <v>17</v>
      </c>
      <c r="E45" s="19">
        <f>EDATE(E34,10)</f>
        <v>46528</v>
      </c>
      <c r="G45" s="16">
        <f>E29-E30</f>
        <v>126288</v>
      </c>
    </row>
    <row r="47">
      <c r="B47" s="20" t="s">
        <v>18</v>
      </c>
      <c r="C47" s="20" t="s">
        <v>19</v>
      </c>
      <c r="D47" s="20" t="s">
        <v>20</v>
      </c>
      <c r="E47" s="21"/>
      <c r="F47" s="20" t="s">
        <v>21</v>
      </c>
    </row>
    <row r="48">
      <c r="B48" s="3" t="s">
        <v>22</v>
      </c>
      <c r="C48" s="22">
        <v>0.09</v>
      </c>
      <c r="D48" s="3">
        <v>10.0</v>
      </c>
      <c r="E48" s="3" t="s">
        <v>23</v>
      </c>
      <c r="F48" s="8">
        <f>PMT(C48/12,D48*12,-G45)</f>
        <v>1599.763012</v>
      </c>
    </row>
    <row r="49">
      <c r="B49" s="3" t="s">
        <v>24</v>
      </c>
      <c r="C49" s="7">
        <v>0.1</v>
      </c>
      <c r="D49" s="3">
        <v>15.0</v>
      </c>
      <c r="E49" s="3" t="s">
        <v>23</v>
      </c>
      <c r="F49" s="8">
        <f>PMT(C49/12,D49*12,-G45)</f>
        <v>1357.097311</v>
      </c>
    </row>
    <row r="50">
      <c r="B50" s="3" t="s">
        <v>25</v>
      </c>
      <c r="C50" s="7">
        <v>0.12</v>
      </c>
      <c r="D50" s="3">
        <v>20.0</v>
      </c>
      <c r="E50" s="3" t="s">
        <v>23</v>
      </c>
      <c r="F50" s="8">
        <f>PMT(C50/12,D50*12,-G45)</f>
        <v>1390.539656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6">
      <c r="A26" s="1" t="s">
        <v>0</v>
      </c>
      <c r="B26" s="2">
        <v>103.0</v>
      </c>
      <c r="C26" s="3" t="s">
        <v>1</v>
      </c>
      <c r="D26" s="2">
        <v>76.91</v>
      </c>
      <c r="E26" s="3" t="s">
        <v>2</v>
      </c>
    </row>
    <row r="27">
      <c r="A27" s="1" t="s">
        <v>3</v>
      </c>
      <c r="B27" s="2">
        <v>2.0</v>
      </c>
      <c r="C27" s="4"/>
      <c r="D27" s="4"/>
      <c r="E27" s="4"/>
    </row>
    <row r="28">
      <c r="A28" s="1" t="s">
        <v>4</v>
      </c>
      <c r="E28" s="5" t="s">
        <v>5</v>
      </c>
    </row>
    <row r="29">
      <c r="A29" s="1" t="s">
        <v>6</v>
      </c>
      <c r="E29" s="6">
        <v>157860.0</v>
      </c>
    </row>
    <row r="30">
      <c r="A30" s="7">
        <v>0.3</v>
      </c>
      <c r="B30" s="3" t="s">
        <v>7</v>
      </c>
      <c r="C30" s="4"/>
      <c r="D30" s="4"/>
      <c r="E30" s="8">
        <f>E29*A30</f>
        <v>47358</v>
      </c>
    </row>
    <row r="31">
      <c r="A31" s="7">
        <v>0.06</v>
      </c>
      <c r="B31" s="3" t="s">
        <v>8</v>
      </c>
      <c r="C31" s="4"/>
      <c r="D31" s="4"/>
      <c r="E31" s="8">
        <f>A31*E29</f>
        <v>9471.6</v>
      </c>
    </row>
    <row r="32">
      <c r="A32" s="9" t="s">
        <v>9</v>
      </c>
    </row>
    <row r="33">
      <c r="A33" s="10" t="s">
        <v>10</v>
      </c>
      <c r="B33" s="11"/>
      <c r="C33" s="12" t="s">
        <v>11</v>
      </c>
      <c r="D33" s="11"/>
      <c r="E33" s="12" t="s">
        <v>12</v>
      </c>
      <c r="F33" s="11"/>
      <c r="G33" s="12" t="s">
        <v>13</v>
      </c>
    </row>
    <row r="34">
      <c r="A34" s="13"/>
      <c r="C34" s="9" t="s">
        <v>14</v>
      </c>
      <c r="E34" s="14">
        <v>46224.0</v>
      </c>
      <c r="F34" s="15" t="s">
        <v>15</v>
      </c>
      <c r="G34" s="16">
        <f>E31</f>
        <v>9471.6</v>
      </c>
    </row>
    <row r="35">
      <c r="A35" s="17">
        <v>1.0</v>
      </c>
      <c r="E35" s="14">
        <f t="shared" ref="E35:E58" si="1">EDATE(E34,1)</f>
        <v>46255</v>
      </c>
      <c r="G35" s="16">
        <f>(E30-E31)/24</f>
        <v>1578.6</v>
      </c>
    </row>
    <row r="36">
      <c r="A36" s="17">
        <f t="shared" ref="A36:A58" si="2">A35+1</f>
        <v>2</v>
      </c>
      <c r="E36" s="14">
        <f t="shared" si="1"/>
        <v>46286</v>
      </c>
      <c r="G36" s="18">
        <f t="shared" ref="G36:G58" si="3">G35</f>
        <v>1578.6</v>
      </c>
    </row>
    <row r="37">
      <c r="A37" s="17">
        <f t="shared" si="2"/>
        <v>3</v>
      </c>
      <c r="E37" s="14">
        <f t="shared" si="1"/>
        <v>46316</v>
      </c>
      <c r="G37" s="18">
        <f t="shared" si="3"/>
        <v>1578.6</v>
      </c>
    </row>
    <row r="38">
      <c r="A38" s="17">
        <f t="shared" si="2"/>
        <v>4</v>
      </c>
      <c r="E38" s="14">
        <f t="shared" si="1"/>
        <v>46347</v>
      </c>
      <c r="G38" s="18">
        <f t="shared" si="3"/>
        <v>1578.6</v>
      </c>
    </row>
    <row r="39">
      <c r="A39" s="17">
        <f t="shared" si="2"/>
        <v>5</v>
      </c>
      <c r="E39" s="14">
        <f t="shared" si="1"/>
        <v>46377</v>
      </c>
      <c r="G39" s="18">
        <f t="shared" si="3"/>
        <v>1578.6</v>
      </c>
    </row>
    <row r="40">
      <c r="A40" s="17">
        <f t="shared" si="2"/>
        <v>6</v>
      </c>
      <c r="E40" s="14">
        <f t="shared" si="1"/>
        <v>46408</v>
      </c>
      <c r="G40" s="18">
        <f t="shared" si="3"/>
        <v>1578.6</v>
      </c>
    </row>
    <row r="41">
      <c r="A41" s="17">
        <f t="shared" si="2"/>
        <v>7</v>
      </c>
      <c r="E41" s="14">
        <f t="shared" si="1"/>
        <v>46439</v>
      </c>
      <c r="G41" s="18">
        <f t="shared" si="3"/>
        <v>1578.6</v>
      </c>
    </row>
    <row r="42">
      <c r="A42" s="17">
        <f t="shared" si="2"/>
        <v>8</v>
      </c>
      <c r="E42" s="14">
        <f t="shared" si="1"/>
        <v>46467</v>
      </c>
      <c r="G42" s="18">
        <f t="shared" si="3"/>
        <v>1578.6</v>
      </c>
    </row>
    <row r="43">
      <c r="A43" s="17">
        <f t="shared" si="2"/>
        <v>9</v>
      </c>
      <c r="E43" s="14">
        <f t="shared" si="1"/>
        <v>46498</v>
      </c>
      <c r="G43" s="18">
        <f t="shared" si="3"/>
        <v>1578.6</v>
      </c>
    </row>
    <row r="44">
      <c r="A44" s="17">
        <f t="shared" si="2"/>
        <v>10</v>
      </c>
      <c r="E44" s="14">
        <f t="shared" si="1"/>
        <v>46528</v>
      </c>
      <c r="G44" s="18">
        <f t="shared" si="3"/>
        <v>1578.6</v>
      </c>
    </row>
    <row r="45">
      <c r="A45" s="17">
        <f t="shared" si="2"/>
        <v>11</v>
      </c>
      <c r="E45" s="14">
        <f t="shared" si="1"/>
        <v>46559</v>
      </c>
      <c r="G45" s="18">
        <f t="shared" si="3"/>
        <v>1578.6</v>
      </c>
    </row>
    <row r="46">
      <c r="A46" s="17">
        <f t="shared" si="2"/>
        <v>12</v>
      </c>
      <c r="E46" s="14">
        <f t="shared" si="1"/>
        <v>46589</v>
      </c>
      <c r="G46" s="18">
        <f t="shared" si="3"/>
        <v>1578.6</v>
      </c>
    </row>
    <row r="47">
      <c r="A47" s="17">
        <f t="shared" si="2"/>
        <v>13</v>
      </c>
      <c r="E47" s="14">
        <f t="shared" si="1"/>
        <v>46620</v>
      </c>
      <c r="G47" s="18">
        <f t="shared" si="3"/>
        <v>1578.6</v>
      </c>
    </row>
    <row r="48">
      <c r="A48" s="17">
        <f t="shared" si="2"/>
        <v>14</v>
      </c>
      <c r="E48" s="14">
        <f t="shared" si="1"/>
        <v>46651</v>
      </c>
      <c r="G48" s="18">
        <f t="shared" si="3"/>
        <v>1578.6</v>
      </c>
    </row>
    <row r="49">
      <c r="A49" s="17">
        <f t="shared" si="2"/>
        <v>15</v>
      </c>
      <c r="E49" s="14">
        <f t="shared" si="1"/>
        <v>46681</v>
      </c>
      <c r="G49" s="18">
        <f t="shared" si="3"/>
        <v>1578.6</v>
      </c>
    </row>
    <row r="50">
      <c r="A50" s="17">
        <f t="shared" si="2"/>
        <v>16</v>
      </c>
      <c r="E50" s="14">
        <f t="shared" si="1"/>
        <v>46712</v>
      </c>
      <c r="G50" s="18">
        <f t="shared" si="3"/>
        <v>1578.6</v>
      </c>
    </row>
    <row r="51">
      <c r="A51" s="17">
        <f t="shared" si="2"/>
        <v>17</v>
      </c>
      <c r="E51" s="14">
        <f t="shared" si="1"/>
        <v>46742</v>
      </c>
      <c r="G51" s="18">
        <f t="shared" si="3"/>
        <v>1578.6</v>
      </c>
    </row>
    <row r="52">
      <c r="A52" s="17">
        <f t="shared" si="2"/>
        <v>18</v>
      </c>
      <c r="E52" s="14">
        <f t="shared" si="1"/>
        <v>46773</v>
      </c>
      <c r="G52" s="18">
        <f t="shared" si="3"/>
        <v>1578.6</v>
      </c>
    </row>
    <row r="53">
      <c r="A53" s="17">
        <f t="shared" si="2"/>
        <v>19</v>
      </c>
      <c r="E53" s="14">
        <f t="shared" si="1"/>
        <v>46804</v>
      </c>
      <c r="G53" s="18">
        <f t="shared" si="3"/>
        <v>1578.6</v>
      </c>
    </row>
    <row r="54">
      <c r="A54" s="17">
        <f t="shared" si="2"/>
        <v>20</v>
      </c>
      <c r="E54" s="14">
        <f t="shared" si="1"/>
        <v>46833</v>
      </c>
      <c r="G54" s="18">
        <f t="shared" si="3"/>
        <v>1578.6</v>
      </c>
    </row>
    <row r="55">
      <c r="A55" s="17">
        <f t="shared" si="2"/>
        <v>21</v>
      </c>
      <c r="E55" s="14">
        <f t="shared" si="1"/>
        <v>46864</v>
      </c>
      <c r="G55" s="18">
        <f t="shared" si="3"/>
        <v>1578.6</v>
      </c>
    </row>
    <row r="56">
      <c r="A56" s="17">
        <f t="shared" si="2"/>
        <v>22</v>
      </c>
      <c r="E56" s="14">
        <f t="shared" si="1"/>
        <v>46894</v>
      </c>
      <c r="G56" s="18">
        <f t="shared" si="3"/>
        <v>1578.6</v>
      </c>
    </row>
    <row r="57">
      <c r="A57" s="17">
        <f t="shared" si="2"/>
        <v>23</v>
      </c>
      <c r="E57" s="14">
        <f t="shared" si="1"/>
        <v>46925</v>
      </c>
      <c r="G57" s="18">
        <f t="shared" si="3"/>
        <v>1578.6</v>
      </c>
    </row>
    <row r="58">
      <c r="A58" s="17">
        <f t="shared" si="2"/>
        <v>24</v>
      </c>
      <c r="E58" s="14">
        <f t="shared" si="1"/>
        <v>46955</v>
      </c>
      <c r="G58" s="18">
        <f t="shared" si="3"/>
        <v>1578.6</v>
      </c>
    </row>
    <row r="59">
      <c r="A59" s="9" t="s">
        <v>16</v>
      </c>
    </row>
    <row r="60">
      <c r="A60" s="12" t="s">
        <v>10</v>
      </c>
      <c r="B60" s="11"/>
      <c r="C60" s="12" t="s">
        <v>11</v>
      </c>
      <c r="D60" s="11"/>
      <c r="E60" s="12" t="s">
        <v>12</v>
      </c>
      <c r="F60" s="11"/>
      <c r="G60" s="12" t="s">
        <v>13</v>
      </c>
    </row>
    <row r="61">
      <c r="A61" s="9">
        <v>2.0</v>
      </c>
      <c r="C61" s="9" t="s">
        <v>17</v>
      </c>
      <c r="E61" s="19">
        <f>EDATE(E34,26)</f>
        <v>47017</v>
      </c>
      <c r="G61" s="16">
        <f>E29-E30</f>
        <v>110502</v>
      </c>
    </row>
    <row r="64">
      <c r="B64" s="12" t="s">
        <v>18</v>
      </c>
      <c r="C64" s="12" t="s">
        <v>19</v>
      </c>
      <c r="D64" s="12" t="s">
        <v>20</v>
      </c>
      <c r="E64" s="11"/>
      <c r="F64" s="12" t="s">
        <v>21</v>
      </c>
    </row>
    <row r="65">
      <c r="B65" s="3" t="s">
        <v>22</v>
      </c>
      <c r="C65" s="22">
        <v>0.075</v>
      </c>
      <c r="D65" s="3">
        <v>10.0</v>
      </c>
      <c r="E65" s="3" t="s">
        <v>23</v>
      </c>
      <c r="F65" s="8">
        <f>PMT(C65/12,D65*12,-G61)</f>
        <v>1311.678289</v>
      </c>
    </row>
    <row r="66">
      <c r="B66" s="3" t="s">
        <v>24</v>
      </c>
      <c r="C66" s="22">
        <v>0.095</v>
      </c>
      <c r="D66" s="3">
        <v>15.0</v>
      </c>
      <c r="E66" s="3" t="s">
        <v>23</v>
      </c>
      <c r="F66" s="8">
        <f>PMT(C66/12,D66*12,-G61)</f>
        <v>1153.889159</v>
      </c>
    </row>
    <row r="67">
      <c r="B67" s="3" t="s">
        <v>25</v>
      </c>
      <c r="C67" s="7">
        <v>0.09</v>
      </c>
      <c r="D67" s="3">
        <v>20.0</v>
      </c>
      <c r="E67" s="3" t="s">
        <v>23</v>
      </c>
      <c r="F67" s="8">
        <f>PMT(C67/12,D67*12,-G61)</f>
        <v>994.2151757</v>
      </c>
    </row>
  </sheetData>
  <drawing r:id="rId1"/>
</worksheet>
</file>