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<sst xmlns="http://schemas.openxmlformats.org/spreadsheetml/2006/main" count="106" uniqueCount="70">
  <si>
    <t>TORRE</t>
  </si>
  <si>
    <t>INMUEBLE</t>
  </si>
  <si>
    <t># DORMITORIOS</t>
  </si>
  <si>
    <t>Baños</t>
  </si>
  <si>
    <t>Área interior</t>
  </si>
  <si>
    <t>Área de Balcón m2</t>
  </si>
  <si>
    <t>AREA TOTAL</t>
  </si>
  <si>
    <t>No Bodega</t>
  </si>
  <si>
    <t>Área Bodega</t>
  </si>
  <si>
    <t>No. Parqueo</t>
  </si>
  <si>
    <t>Ubicación de Parqueo</t>
  </si>
  <si>
    <t>PRECIO DE VENTA</t>
  </si>
  <si>
    <t>MES DE RESERVA</t>
  </si>
  <si>
    <t>RESERVA</t>
  </si>
  <si>
    <t>MEDIO DE PAGO</t>
  </si>
  <si>
    <t>ASESOR</t>
  </si>
  <si>
    <t>CLIENTE</t>
  </si>
  <si>
    <t>VALIDACION UAFE</t>
  </si>
  <si>
    <t>APROBACION UAFE</t>
  </si>
  <si>
    <t>FECHA ASESOR ENVÍA DOCUMENTOS</t>
  </si>
  <si>
    <t>APROBACION COMEERCIAL</t>
  </si>
  <si>
    <t>APROBACION CREDITO</t>
  </si>
  <si>
    <t>TIPO DE VENTA</t>
  </si>
  <si>
    <t>FECHA DE FIRMA</t>
  </si>
  <si>
    <t>MES DE FIRMA</t>
  </si>
  <si>
    <t>OBSERVACIONES</t>
  </si>
  <si>
    <t>TIPO DE MESON</t>
  </si>
  <si>
    <t xml:space="preserve">RESERVA </t>
  </si>
  <si>
    <t>FIRMA 5%</t>
  </si>
  <si>
    <t>FINANCIAMIENTO 25%</t>
  </si>
  <si>
    <t>PLAZO 2 CUOTAS</t>
  </si>
  <si>
    <t>SALDO BANCARIO 70%</t>
  </si>
  <si>
    <t>FECHA DE RESERVA</t>
  </si>
  <si>
    <t>TORRE A</t>
  </si>
  <si>
    <t>A001</t>
  </si>
  <si>
    <t xml:space="preserve">3 BC y 2 MB </t>
  </si>
  <si>
    <t>No incluye</t>
  </si>
  <si>
    <t>29 Y 30</t>
  </si>
  <si>
    <t>Fuera de la torre A</t>
  </si>
  <si>
    <t>CUARZO</t>
  </si>
  <si>
    <t>TORRE C</t>
  </si>
  <si>
    <t>C003</t>
  </si>
  <si>
    <t xml:space="preserve">4 BC y 1 MB </t>
  </si>
  <si>
    <t>17 Y 18</t>
  </si>
  <si>
    <t>Semisotano torre C</t>
  </si>
  <si>
    <t>IXINA</t>
  </si>
  <si>
    <t>C102</t>
  </si>
  <si>
    <t>19 y 20</t>
  </si>
  <si>
    <t>C103</t>
  </si>
  <si>
    <t xml:space="preserve">3 BC y 1 MB </t>
  </si>
  <si>
    <t>5 y 13</t>
  </si>
  <si>
    <t>C203</t>
  </si>
  <si>
    <t>34 y 35</t>
  </si>
  <si>
    <t>C205</t>
  </si>
  <si>
    <t>3 Y 11</t>
  </si>
  <si>
    <t>C302</t>
  </si>
  <si>
    <t>8 y 16</t>
  </si>
  <si>
    <t>C305</t>
  </si>
  <si>
    <t>78 y 79</t>
  </si>
  <si>
    <t>Fuera de la  torre C</t>
  </si>
  <si>
    <t>C306</t>
  </si>
  <si>
    <t xml:space="preserve">2 BC y 1 MB </t>
  </si>
  <si>
    <t>4 Y12</t>
  </si>
  <si>
    <t>TORRE D</t>
  </si>
  <si>
    <t>D101</t>
  </si>
  <si>
    <t>03 Y 11</t>
  </si>
  <si>
    <t>Semisotano torre D</t>
  </si>
  <si>
    <t>D 105</t>
  </si>
  <si>
    <t>36 Y 37</t>
  </si>
  <si>
    <t>D201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</si>
</sst>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&quot;$&quot;#,##0.00"/>
  </numFmts>
  <fonts count="6">
    <font>
      <sz val="10.0"/>
      <color rgb="FF000000"/>
      <name val="Arial"/>
      <scheme val="minor"/>
    </font>
    <font>
      <sz val="11.0"/>
      <color theme="1"/>
      <name val="Aptos Narrow"/>
    </font>
    <font>
      <b/>
      <sz val="9.0"/>
      <color theme="1"/>
      <name val="Century Gothic"/>
    </font>
    <font>
      <sz val="9.0"/>
      <color theme="1"/>
      <name val="Century Gothic"/>
    </font>
    <font>
      <b/>
      <sz val="11.0"/>
      <color theme="1"/>
      <name val="Arial"/>
    </font>
    <font>
      <b/>
      <sz val="11.0"/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E8E8E8"/>
        <bgColor rgb="FFE8E8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1" fillId="3" fontId="2" numFmtId="49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3" fontId="2" numFmtId="164" xfId="0" applyAlignment="1" applyBorder="1" applyFont="1" applyNumberForma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bottom"/>
    </xf>
    <xf borderId="1" fillId="2" fontId="3" numFmtId="2" xfId="0" applyAlignment="1" applyBorder="1" applyFont="1" applyNumberFormat="1">
      <alignment horizontal="center" readingOrder="0"/>
    </xf>
    <xf borderId="1" fillId="2" fontId="3" numFmtId="2" xfId="0" applyAlignment="1" applyBorder="1" applyFont="1" applyNumberFormat="1">
      <alignment horizontal="center"/>
    </xf>
    <xf borderId="1" fillId="2" fontId="4" numFmtId="165" xfId="0" applyAlignment="1" applyBorder="1" applyFont="1" applyNumberFormat="1">
      <alignment horizontal="center" vertical="bottom"/>
    </xf>
    <xf borderId="1" fillId="0" fontId="1" numFmtId="4" xfId="0" applyAlignment="1" applyBorder="1" applyFont="1" applyNumberFormat="1">
      <alignment vertical="bottom"/>
    </xf>
    <xf borderId="1" fillId="2" fontId="3" numFmtId="165" xfId="0" applyAlignment="1" applyBorder="1" applyFont="1" applyNumberFormat="1">
      <alignment horizontal="center"/>
    </xf>
    <xf borderId="1" fillId="2" fontId="3" numFmtId="4" xfId="0" applyAlignment="1" applyBorder="1" applyFont="1" applyNumberFormat="1">
      <alignment horizontal="center" vertical="bottom"/>
    </xf>
    <xf borderId="1" fillId="2" fontId="3" numFmtId="2" xfId="0" applyAlignment="1" applyBorder="1" applyFont="1" applyNumberFormat="1">
      <alignment horizontal="center" vertical="bottom"/>
    </xf>
    <xf borderId="1" fillId="2" fontId="5" numFmtId="165" xfId="0" applyAlignment="1" applyBorder="1" applyFont="1" applyNumberFormat="1">
      <alignment horizontal="center" vertical="bottom"/>
    </xf>
    <xf borderId="1" fillId="2" fontId="3" numFmtId="4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 vertical="bottom"/>
    </xf>
    <xf borderId="1" fillId="2" fontId="1" numFmtId="4" xfId="0" applyBorder="1" applyFont="1" applyNumberFormat="1"/>
    <xf borderId="1" fillId="0" fontId="1" numFmtId="165" xfId="0" applyAlignment="1" applyBorder="1" applyFont="1" applyNumberFormat="1">
      <alignment vertical="bottom"/>
    </xf>
    <xf borderId="1" fillId="2" fontId="1" numFmtId="165" xfId="0" applyBorder="1" applyFont="1" applyNumberFormat="1"/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0"/>
    <col hidden="1" min="13" max="26" width="12.63"/>
  </cols>
  <sheetData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5" t="s">
        <v>0</v>
      </c>
      <c r="B4" s="5" t="s">
        <v>1</v>
      </c>
      <c r="C4" s="5" t="s">
        <v>2</v>
      </c>
      <c r="D4" s="6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7" t="s">
        <v>8</v>
      </c>
      <c r="J4" s="7" t="s">
        <v>9</v>
      </c>
      <c r="K4" s="7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  <c r="AG4" s="3"/>
      <c r="AH4" s="9" t="s">
        <v>32</v>
      </c>
      <c r="AI4" s="3"/>
    </row>
    <row r="5">
      <c r="A5" s="10" t="s">
        <v>33</v>
      </c>
      <c r="B5" s="11" t="s">
        <v>34</v>
      </c>
      <c r="C5" s="10">
        <v>2.0</v>
      </c>
      <c r="D5" s="12" t="s">
        <v>35</v>
      </c>
      <c r="E5" s="13">
        <v>109.9</v>
      </c>
      <c r="F5" s="13">
        <v>4.79</v>
      </c>
      <c r="G5" s="13">
        <f>+E5+F5</f>
        <v>114.69</v>
      </c>
      <c r="H5" s="10" t="s">
        <v>36</v>
      </c>
      <c r="I5" s="10" t="s">
        <v>36</v>
      </c>
      <c r="J5" s="10" t="s">
        <v>37</v>
      </c>
      <c r="K5" s="10" t="s">
        <v>38</v>
      </c>
      <c r="L5" s="14">
        <v>273579.04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 t="s">
        <v>39</v>
      </c>
      <c r="AB5" s="16">
        <v>2000.0</v>
      </c>
      <c r="AC5" s="16">
        <f t="shared" ref="AC5:AC14" si="1">+(L5*5%)-AB5</f>
        <v>11678.952</v>
      </c>
      <c r="AD5" s="16">
        <f t="shared" ref="AD5:AD14" si="2">+L5*25%</f>
        <v>68394.76</v>
      </c>
      <c r="AE5" s="16">
        <f t="shared" ref="AE5:AE14" si="3">+AD5/2</f>
        <v>34197.38</v>
      </c>
      <c r="AF5" s="16">
        <f t="shared" ref="AF5:AF14" si="4">+L5*70%</f>
        <v>191505.328</v>
      </c>
      <c r="AG5" s="3"/>
      <c r="AH5" s="15"/>
      <c r="AI5" s="3"/>
    </row>
    <row r="6">
      <c r="A6" s="11" t="s">
        <v>40</v>
      </c>
      <c r="B6" s="11" t="s">
        <v>41</v>
      </c>
      <c r="C6" s="11">
        <v>3.0</v>
      </c>
      <c r="D6" s="12" t="s">
        <v>42</v>
      </c>
      <c r="E6" s="17">
        <v>157.22</v>
      </c>
      <c r="F6" s="17">
        <v>6.78</v>
      </c>
      <c r="G6" s="18">
        <f>E6+F6</f>
        <v>164</v>
      </c>
      <c r="H6" s="11">
        <v>3.0</v>
      </c>
      <c r="I6" s="11">
        <v>5.47</v>
      </c>
      <c r="J6" s="11" t="s">
        <v>43</v>
      </c>
      <c r="K6" s="10" t="s">
        <v>44</v>
      </c>
      <c r="L6" s="19">
        <v>302441.73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 t="s">
        <v>45</v>
      </c>
      <c r="AB6" s="16">
        <v>2000.0</v>
      </c>
      <c r="AC6" s="16">
        <f t="shared" si="1"/>
        <v>13122.0865</v>
      </c>
      <c r="AD6" s="16">
        <f t="shared" si="2"/>
        <v>75610.4325</v>
      </c>
      <c r="AE6" s="16">
        <f t="shared" si="3"/>
        <v>37805.21625</v>
      </c>
      <c r="AF6" s="16">
        <f t="shared" si="4"/>
        <v>211709.211</v>
      </c>
      <c r="AG6" s="3"/>
      <c r="AH6" s="15"/>
      <c r="AI6" s="3"/>
    </row>
    <row r="7">
      <c r="A7" s="10" t="s">
        <v>40</v>
      </c>
      <c r="B7" s="11" t="s">
        <v>46</v>
      </c>
      <c r="C7" s="10">
        <v>3.0</v>
      </c>
      <c r="D7" s="12" t="s">
        <v>42</v>
      </c>
      <c r="E7" s="20">
        <v>157.89</v>
      </c>
      <c r="F7" s="20">
        <v>6.6</v>
      </c>
      <c r="G7" s="13">
        <f t="shared" ref="G7:G8" si="5">+E7+F7</f>
        <v>164.49</v>
      </c>
      <c r="H7" s="10">
        <v>20.0</v>
      </c>
      <c r="I7" s="10">
        <v>3.18</v>
      </c>
      <c r="J7" s="10" t="s">
        <v>47</v>
      </c>
      <c r="K7" s="10" t="s">
        <v>44</v>
      </c>
      <c r="L7" s="14">
        <v>301235.5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 t="s">
        <v>45</v>
      </c>
      <c r="AB7" s="16">
        <v>2000.0</v>
      </c>
      <c r="AC7" s="16">
        <f t="shared" si="1"/>
        <v>13061.775</v>
      </c>
      <c r="AD7" s="16">
        <f t="shared" si="2"/>
        <v>75308.875</v>
      </c>
      <c r="AE7" s="16">
        <f t="shared" si="3"/>
        <v>37654.4375</v>
      </c>
      <c r="AF7" s="16">
        <f t="shared" si="4"/>
        <v>210864.85</v>
      </c>
      <c r="AG7" s="3"/>
      <c r="AH7" s="15"/>
      <c r="AI7" s="3"/>
    </row>
    <row r="8">
      <c r="A8" s="10" t="s">
        <v>40</v>
      </c>
      <c r="B8" s="11" t="s">
        <v>48</v>
      </c>
      <c r="C8" s="10">
        <v>3.0</v>
      </c>
      <c r="D8" s="12" t="s">
        <v>49</v>
      </c>
      <c r="E8" s="20">
        <v>157.22</v>
      </c>
      <c r="F8" s="20">
        <v>6.78</v>
      </c>
      <c r="G8" s="13">
        <f t="shared" si="5"/>
        <v>164</v>
      </c>
      <c r="H8" s="10">
        <v>16.0</v>
      </c>
      <c r="I8" s="10">
        <v>3.83</v>
      </c>
      <c r="J8" s="10" t="s">
        <v>50</v>
      </c>
      <c r="K8" s="10" t="s">
        <v>44</v>
      </c>
      <c r="L8" s="21">
        <v>301186.99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 t="s">
        <v>45</v>
      </c>
      <c r="AB8" s="16">
        <v>2000.0</v>
      </c>
      <c r="AC8" s="16">
        <f t="shared" si="1"/>
        <v>13059.3495</v>
      </c>
      <c r="AD8" s="16">
        <f t="shared" si="2"/>
        <v>75296.7475</v>
      </c>
      <c r="AE8" s="16">
        <f t="shared" si="3"/>
        <v>37648.37375</v>
      </c>
      <c r="AF8" s="16">
        <f t="shared" si="4"/>
        <v>210830.893</v>
      </c>
      <c r="AG8" s="3"/>
      <c r="AH8" s="15"/>
      <c r="AI8" s="3"/>
    </row>
    <row r="9">
      <c r="A9" s="10" t="s">
        <v>40</v>
      </c>
      <c r="B9" s="11" t="s">
        <v>51</v>
      </c>
      <c r="C9" s="10">
        <v>3.0</v>
      </c>
      <c r="D9" s="12" t="s">
        <v>42</v>
      </c>
      <c r="E9" s="20">
        <v>157.22</v>
      </c>
      <c r="F9" s="20">
        <v>6.78</v>
      </c>
      <c r="G9" s="13">
        <f t="shared" ref="G9:G10" si="6">E9+F9</f>
        <v>164</v>
      </c>
      <c r="H9" s="10">
        <v>11.0</v>
      </c>
      <c r="I9" s="10">
        <v>5.37</v>
      </c>
      <c r="J9" s="10" t="s">
        <v>52</v>
      </c>
      <c r="K9" s="10" t="s">
        <v>44</v>
      </c>
      <c r="L9" s="21">
        <v>302132.29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 t="s">
        <v>45</v>
      </c>
      <c r="AB9" s="16">
        <v>2000.0</v>
      </c>
      <c r="AC9" s="16">
        <f t="shared" si="1"/>
        <v>13106.6145</v>
      </c>
      <c r="AD9" s="16">
        <f t="shared" si="2"/>
        <v>75533.0725</v>
      </c>
      <c r="AE9" s="16">
        <f t="shared" si="3"/>
        <v>37766.53625</v>
      </c>
      <c r="AF9" s="16">
        <f t="shared" si="4"/>
        <v>211492.603</v>
      </c>
      <c r="AG9" s="3"/>
      <c r="AH9" s="15"/>
      <c r="AI9" s="3"/>
    </row>
    <row r="10">
      <c r="A10" s="10" t="s">
        <v>40</v>
      </c>
      <c r="B10" s="11" t="s">
        <v>53</v>
      </c>
      <c r="C10" s="10">
        <v>3.0</v>
      </c>
      <c r="D10" s="12" t="s">
        <v>49</v>
      </c>
      <c r="E10" s="20">
        <v>111.29</v>
      </c>
      <c r="F10" s="20">
        <v>6.24</v>
      </c>
      <c r="G10" s="13">
        <f t="shared" si="6"/>
        <v>117.53</v>
      </c>
      <c r="H10" s="10">
        <v>23.0</v>
      </c>
      <c r="I10" s="10">
        <v>5.05</v>
      </c>
      <c r="J10" s="10" t="s">
        <v>54</v>
      </c>
      <c r="K10" s="10" t="s">
        <v>44</v>
      </c>
      <c r="L10" s="21">
        <v>243777.69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 t="s">
        <v>45</v>
      </c>
      <c r="AB10" s="16">
        <v>2003.0</v>
      </c>
      <c r="AC10" s="16">
        <f t="shared" si="1"/>
        <v>10185.8845</v>
      </c>
      <c r="AD10" s="16">
        <f t="shared" si="2"/>
        <v>60944.4225</v>
      </c>
      <c r="AE10" s="16">
        <f t="shared" si="3"/>
        <v>30472.21125</v>
      </c>
      <c r="AF10" s="16">
        <f t="shared" si="4"/>
        <v>170644.383</v>
      </c>
      <c r="AG10" s="3"/>
      <c r="AH10" s="15"/>
      <c r="AI10" s="3"/>
    </row>
    <row r="11">
      <c r="A11" s="10" t="s">
        <v>40</v>
      </c>
      <c r="B11" s="11" t="s">
        <v>55</v>
      </c>
      <c r="C11" s="10">
        <v>3.0</v>
      </c>
      <c r="D11" s="12" t="s">
        <v>42</v>
      </c>
      <c r="E11" s="20">
        <v>157.89</v>
      </c>
      <c r="F11" s="20">
        <v>6.6</v>
      </c>
      <c r="G11" s="13">
        <f t="shared" ref="G11:G12" si="7">+E11+F11</f>
        <v>164.49</v>
      </c>
      <c r="H11" s="10">
        <v>19.0</v>
      </c>
      <c r="I11" s="10">
        <v>3.02</v>
      </c>
      <c r="J11" s="10" t="s">
        <v>56</v>
      </c>
      <c r="K11" s="10" t="s">
        <v>44</v>
      </c>
      <c r="L11" s="21">
        <v>300658.14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 t="s">
        <v>45</v>
      </c>
      <c r="AB11" s="16">
        <v>2000.0</v>
      </c>
      <c r="AC11" s="16">
        <f t="shared" si="1"/>
        <v>13032.907</v>
      </c>
      <c r="AD11" s="16">
        <f t="shared" si="2"/>
        <v>75164.535</v>
      </c>
      <c r="AE11" s="16">
        <f t="shared" si="3"/>
        <v>37582.2675</v>
      </c>
      <c r="AF11" s="16">
        <f t="shared" si="4"/>
        <v>210460.698</v>
      </c>
      <c r="AG11" s="3"/>
      <c r="AH11" s="15"/>
      <c r="AI11" s="3"/>
    </row>
    <row r="12">
      <c r="A12" s="10" t="s">
        <v>40</v>
      </c>
      <c r="B12" s="11" t="s">
        <v>57</v>
      </c>
      <c r="C12" s="10">
        <v>3.0</v>
      </c>
      <c r="D12" s="12" t="s">
        <v>49</v>
      </c>
      <c r="E12" s="20">
        <v>111.29</v>
      </c>
      <c r="F12" s="20">
        <v>6.24</v>
      </c>
      <c r="G12" s="13">
        <f t="shared" si="7"/>
        <v>117.53</v>
      </c>
      <c r="H12" s="10">
        <v>13.0</v>
      </c>
      <c r="I12" s="10">
        <v>5.32</v>
      </c>
      <c r="J12" s="10" t="s">
        <v>58</v>
      </c>
      <c r="K12" s="10" t="s">
        <v>59</v>
      </c>
      <c r="L12" s="21">
        <v>231047.93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 t="s">
        <v>45</v>
      </c>
      <c r="AB12" s="16">
        <v>2000.0</v>
      </c>
      <c r="AC12" s="16">
        <f t="shared" si="1"/>
        <v>9552.3965</v>
      </c>
      <c r="AD12" s="16">
        <f t="shared" si="2"/>
        <v>57761.9825</v>
      </c>
      <c r="AE12" s="16">
        <f t="shared" si="3"/>
        <v>28880.99125</v>
      </c>
      <c r="AF12" s="16">
        <f t="shared" si="4"/>
        <v>161733.551</v>
      </c>
      <c r="AG12" s="3"/>
      <c r="AH12" s="15"/>
      <c r="AI12" s="3"/>
    </row>
    <row r="13">
      <c r="A13" s="10" t="s">
        <v>40</v>
      </c>
      <c r="B13" s="11" t="s">
        <v>60</v>
      </c>
      <c r="C13" s="10">
        <v>3.0</v>
      </c>
      <c r="D13" s="12" t="s">
        <v>61</v>
      </c>
      <c r="E13" s="20">
        <v>112.3</v>
      </c>
      <c r="F13" s="22"/>
      <c r="G13" s="13">
        <f t="shared" ref="G13:G14" si="8">E13+F13</f>
        <v>112.3</v>
      </c>
      <c r="H13" s="10">
        <v>24.0</v>
      </c>
      <c r="I13" s="10">
        <v>5.12</v>
      </c>
      <c r="J13" s="10" t="s">
        <v>62</v>
      </c>
      <c r="K13" s="10" t="s">
        <v>44</v>
      </c>
      <c r="L13" s="21">
        <v>237744.01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 t="s">
        <v>45</v>
      </c>
      <c r="AB13" s="16">
        <v>2000.0</v>
      </c>
      <c r="AC13" s="16">
        <f t="shared" si="1"/>
        <v>9887.2005</v>
      </c>
      <c r="AD13" s="16">
        <f t="shared" si="2"/>
        <v>59436.0025</v>
      </c>
      <c r="AE13" s="16">
        <f t="shared" si="3"/>
        <v>29718.00125</v>
      </c>
      <c r="AF13" s="16">
        <f t="shared" si="4"/>
        <v>166420.807</v>
      </c>
      <c r="AG13" s="3"/>
      <c r="AH13" s="15"/>
      <c r="AI13" s="3"/>
    </row>
    <row r="14">
      <c r="A14" s="11" t="s">
        <v>63</v>
      </c>
      <c r="B14" s="11" t="s">
        <v>64</v>
      </c>
      <c r="C14" s="11">
        <v>3.0</v>
      </c>
      <c r="D14" s="12" t="s">
        <v>42</v>
      </c>
      <c r="E14" s="18">
        <v>162.46</v>
      </c>
      <c r="F14" s="18">
        <v>6.54</v>
      </c>
      <c r="G14" s="18">
        <f t="shared" si="8"/>
        <v>169</v>
      </c>
      <c r="H14" s="11">
        <v>21.0</v>
      </c>
      <c r="I14" s="11">
        <v>6.46</v>
      </c>
      <c r="J14" s="11" t="s">
        <v>65</v>
      </c>
      <c r="K14" s="10" t="s">
        <v>66</v>
      </c>
      <c r="L14" s="19">
        <v>308307.26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 t="s">
        <v>45</v>
      </c>
      <c r="AB14" s="16">
        <v>2000.0</v>
      </c>
      <c r="AC14" s="16">
        <f t="shared" si="1"/>
        <v>13415.363</v>
      </c>
      <c r="AD14" s="16">
        <f t="shared" si="2"/>
        <v>77076.815</v>
      </c>
      <c r="AE14" s="16">
        <f t="shared" si="3"/>
        <v>38538.4075</v>
      </c>
      <c r="AF14" s="16">
        <f t="shared" si="4"/>
        <v>215815.082</v>
      </c>
      <c r="AG14" s="3"/>
      <c r="AH14" s="15"/>
      <c r="AI14" s="3"/>
    </row>
    <row r="15">
      <c r="A15" s="11" t="s">
        <v>63</v>
      </c>
      <c r="B15" s="11" t="s">
        <v>67</v>
      </c>
      <c r="C15" s="10">
        <v>3.0</v>
      </c>
      <c r="D15" s="13"/>
      <c r="E15" s="13">
        <v>177.32</v>
      </c>
      <c r="F15" s="13">
        <v>6.17</v>
      </c>
      <c r="G15" s="13">
        <v>183.49</v>
      </c>
      <c r="H15" s="10">
        <v>14.0</v>
      </c>
      <c r="I15" s="10">
        <v>5.63</v>
      </c>
      <c r="J15" s="11" t="s">
        <v>68</v>
      </c>
      <c r="K15" s="10" t="s">
        <v>66</v>
      </c>
      <c r="L15" s="23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 t="s">
        <v>45</v>
      </c>
      <c r="AB15" s="16">
        <v>2000.0</v>
      </c>
      <c r="AC15" s="24"/>
      <c r="AD15" s="24"/>
      <c r="AE15" s="24"/>
      <c r="AF15" s="24"/>
      <c r="AG15" s="3"/>
      <c r="AH15" s="15"/>
      <c r="AI15" s="3"/>
    </row>
    <row r="16">
      <c r="A16" s="11" t="s">
        <v>63</v>
      </c>
      <c r="B16" s="11" t="s">
        <v>69</v>
      </c>
      <c r="C16" s="10">
        <v>2.0</v>
      </c>
      <c r="D16" s="12" t="s">
        <v>49</v>
      </c>
      <c r="E16" s="13">
        <v>164.36</v>
      </c>
      <c r="F16" s="13">
        <v>6.54</v>
      </c>
      <c r="G16" s="13">
        <f>+E16+F16</f>
        <v>170.9</v>
      </c>
      <c r="H16" s="10">
        <v>16.0</v>
      </c>
      <c r="I16" s="10">
        <v>5.9</v>
      </c>
      <c r="J16" s="10" t="s">
        <v>56</v>
      </c>
      <c r="K16" s="10" t="s">
        <v>66</v>
      </c>
      <c r="L16" s="21">
        <v>306288.94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 t="s">
        <v>45</v>
      </c>
      <c r="AB16" s="16">
        <v>2000.0</v>
      </c>
      <c r="AC16" s="16">
        <f>+(L16*5%)-AB16</f>
        <v>13314.447</v>
      </c>
      <c r="AD16" s="16">
        <f>+L16*25%</f>
        <v>76572.235</v>
      </c>
      <c r="AE16" s="16">
        <f>+AD16/2</f>
        <v>38286.1175</v>
      </c>
      <c r="AF16" s="16">
        <f>+L16*70%</f>
        <v>214402.258</v>
      </c>
      <c r="AG16" s="3"/>
      <c r="AH16" s="15"/>
      <c r="AI16" s="3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25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</sheetData>
  <drawing r:id="rId1"/>
</worksheet>
</file>